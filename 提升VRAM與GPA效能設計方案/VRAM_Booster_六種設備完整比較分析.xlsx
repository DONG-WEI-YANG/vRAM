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規格總覽" sheetId="1" state="visible" r:id="rId1"/>
    <sheet xmlns:r="http://schemas.openxmlformats.org/officeDocument/2006/relationships" name="成本效益分析" sheetId="2" state="visible" r:id="rId2"/>
    <sheet xmlns:r="http://schemas.openxmlformats.org/officeDocument/2006/relationships" name="技術架構比較" sheetId="3" state="visible" r:id="rId3"/>
    <sheet xmlns:r="http://schemas.openxmlformats.org/officeDocument/2006/relationships" name="效能提升量化" sheetId="4" state="visible" r:id="rId4"/>
    <sheet xmlns:r="http://schemas.openxmlformats.org/officeDocument/2006/relationships" name="選型建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%"/>
    <numFmt numFmtId="167" formatCode="#,##0.0"/>
  </numFmts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i val="1"/>
      <color rgb="00666666"/>
      <sz val="9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color rgb="000000FF"/>
      <sz val="10"/>
    </font>
    <font>
      <name val="Microsoft JhengHei"/>
      <b val="1"/>
      <sz val="10"/>
    </font>
    <font>
      <name val="Microsoft JhengHei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7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7" fillId="5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7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2" customWidth="1" min="8" max="8"/>
  </cols>
  <sheetData>
    <row r="1" ht="40" customHeight="1">
      <c r="A1" s="1" t="inlineStr">
        <is>
          <t>VRAM Booster 六種設備完整規格比較表</t>
        </is>
      </c>
    </row>
    <row r="2">
      <c r="A2" s="2" t="inlineStr">
        <is>
          <t>製作者：DONG. WEI YANG  |  2026-03-23  |  v0.2.0</t>
        </is>
      </c>
    </row>
    <row r="4">
      <c r="A4" s="3" t="inlineStr">
        <is>
          <t>規格項目</t>
        </is>
      </c>
      <c r="B4" s="3" t="inlineStr">
        <is>
          <t>SD Express</t>
        </is>
      </c>
      <c r="C4" s="3" t="inlineStr">
        <is>
          <t>USB4/TB SSD</t>
        </is>
      </c>
      <c r="D4" s="3" t="inlineStr">
        <is>
          <t>NVMe 外接盒</t>
        </is>
      </c>
      <c r="E4" s="3" t="inlineStr">
        <is>
          <t>普通 SD 卡</t>
        </is>
      </c>
      <c r="F4" s="3" t="inlineStr">
        <is>
          <t>普通 USB 碟</t>
        </is>
      </c>
      <c r="G4" s="3" t="inlineStr">
        <is>
          <t>外接 HDD</t>
        </is>
      </c>
      <c r="H4" s="3" t="inlineStr">
        <is>
          <t>備註</t>
        </is>
      </c>
    </row>
    <row r="5">
      <c r="A5" s="4" t="inlineStr">
        <is>
          <t>連線架構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連線協定</t>
        </is>
      </c>
      <c r="B6" s="7" t="inlineStr">
        <is>
          <t>PCIe Gen4 NVMe</t>
        </is>
      </c>
      <c r="C6" s="7" t="inlineStr">
        <is>
          <t>USB4 PCIe Tunnel</t>
        </is>
      </c>
      <c r="D6" s="7" t="inlineStr">
        <is>
          <t>TB4/5 PCIe Tunnel</t>
        </is>
      </c>
      <c r="E6" s="7" t="inlineStr">
        <is>
          <t>SD Bus (UHS-I/II)</t>
        </is>
      </c>
      <c r="F6" s="7" t="inlineStr">
        <is>
          <t>USB 3.0/3.2 xHCI</t>
        </is>
      </c>
      <c r="G6" s="7" t="inlineStr">
        <is>
          <t>USB 3.0 xHCI</t>
        </is>
      </c>
      <c r="H6" s="7" t="inlineStr"/>
    </row>
    <row r="7">
      <c r="A7" s="8" t="inlineStr">
        <is>
          <t>協定轉換次數</t>
        </is>
      </c>
      <c r="B7" s="9" t="n">
        <v>0</v>
      </c>
      <c r="C7" s="9" t="n">
        <v>1</v>
      </c>
      <c r="D7" s="9" t="n">
        <v>1</v>
      </c>
      <c r="E7" s="9" t="n">
        <v>0</v>
      </c>
      <c r="F7" s="9" t="n">
        <v>2</v>
      </c>
      <c r="G7" s="9" t="n">
        <v>2</v>
      </c>
      <c r="H7" s="10" t="inlineStr">
        <is>
          <t>次</t>
        </is>
      </c>
    </row>
    <row r="8">
      <c r="A8" s="6" t="inlineStr">
        <is>
          <t>OS 辨識方式</t>
        </is>
      </c>
      <c r="B8" s="7" t="inlineStr">
        <is>
          <t>NVMe SSD</t>
        </is>
      </c>
      <c r="C8" s="7" t="inlineStr">
        <is>
          <t>NVMe (Tunnel)</t>
        </is>
      </c>
      <c r="D8" s="7" t="inlineStr">
        <is>
          <t>NVMe (Tunnel)</t>
        </is>
      </c>
      <c r="E8" s="7" t="inlineStr">
        <is>
          <t>卸除式磁碟</t>
        </is>
      </c>
      <c r="F8" s="7" t="inlineStr">
        <is>
          <t>卸除式磁碟</t>
        </is>
      </c>
      <c r="G8" s="7" t="inlineStr">
        <is>
          <t>卸除式磁碟</t>
        </is>
      </c>
      <c r="H8" s="7" t="inlineStr"/>
    </row>
    <row r="9">
      <c r="A9" s="8" t="inlineStr">
        <is>
          <t>需要 Admin 權限</t>
        </is>
      </c>
      <c r="B9" s="10" t="inlineStr">
        <is>
          <t>是</t>
        </is>
      </c>
      <c r="C9" s="10" t="inlineStr">
        <is>
          <t>是</t>
        </is>
      </c>
      <c r="D9" s="10" t="inlineStr">
        <is>
          <t>是</t>
        </is>
      </c>
      <c r="E9" s="10" t="inlineStr">
        <is>
          <t>否</t>
        </is>
      </c>
      <c r="F9" s="10" t="inlineStr">
        <is>
          <t>否</t>
        </is>
      </c>
      <c r="G9" s="10" t="inlineStr">
        <is>
          <t>否</t>
        </is>
      </c>
      <c r="H9" s="10" t="inlineStr">
        <is>
          <t>Legacy 用檔案 I/O</t>
        </is>
      </c>
    </row>
    <row r="10">
      <c r="A10" s="4" t="inlineStr">
        <is>
          <t>頻寬與延遲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8" t="inlineStr">
        <is>
          <t>理論最大頻寬 (MB/s)</t>
        </is>
      </c>
      <c r="B11" s="9" t="n">
        <v>3940</v>
      </c>
      <c r="C11" s="9" t="n">
        <v>7500</v>
      </c>
      <c r="D11" s="9" t="n">
        <v>10000</v>
      </c>
      <c r="E11" s="9" t="n">
        <v>104</v>
      </c>
      <c r="F11" s="9" t="n">
        <v>500</v>
      </c>
      <c r="G11" s="9" t="n">
        <v>150</v>
      </c>
      <c r="H11" s="10" t="inlineStr">
        <is>
          <t>MB/s</t>
        </is>
      </c>
    </row>
    <row r="12">
      <c r="A12" s="6" t="inlineStr">
        <is>
          <t>實測典型頻寬 (MB/s)</t>
        </is>
      </c>
      <c r="B12" s="11" t="n">
        <v>3500</v>
      </c>
      <c r="C12" s="11" t="n">
        <v>6500</v>
      </c>
      <c r="D12" s="11" t="n">
        <v>8500</v>
      </c>
      <c r="E12" s="11" t="n">
        <v>80</v>
      </c>
      <c r="F12" s="11" t="n">
        <v>300</v>
      </c>
      <c r="G12" s="11" t="n">
        <v>120</v>
      </c>
      <c r="H12" s="7" t="inlineStr">
        <is>
          <t>MB/s</t>
        </is>
      </c>
    </row>
    <row r="13">
      <c r="A13" s="8" t="inlineStr">
        <is>
          <t>最佳化後等效頻寬</t>
        </is>
      </c>
      <c r="B13" s="9" t="n">
        <v>3500</v>
      </c>
      <c r="C13" s="9" t="n">
        <v>6500</v>
      </c>
      <c r="D13" s="9" t="n">
        <v>8500</v>
      </c>
      <c r="E13" s="9" t="n">
        <v>500</v>
      </c>
      <c r="F13" s="9" t="n">
        <v>1500</v>
      </c>
      <c r="G13" s="9" t="n">
        <v>600</v>
      </c>
      <c r="H13" s="10" t="inlineStr">
        <is>
          <t>MB/s (壓縮+量化)</t>
        </is>
      </c>
    </row>
    <row r="14">
      <c r="A14" s="6" t="inlineStr">
        <is>
          <t>等效頻寬倍率</t>
        </is>
      </c>
      <c r="B14" s="11" t="n">
        <v>1</v>
      </c>
      <c r="C14" s="11" t="n">
        <v>1</v>
      </c>
      <c r="D14" s="11" t="n">
        <v>1</v>
      </c>
      <c r="E14" s="11" t="n">
        <v>6.3</v>
      </c>
      <c r="F14" s="11" t="n">
        <v>5</v>
      </c>
      <c r="G14" s="11" t="n">
        <v>5</v>
      </c>
      <c r="H14" s="7" t="inlineStr">
        <is>
          <t>x 倍</t>
        </is>
      </c>
    </row>
    <row r="15">
      <c r="A15" s="8" t="inlineStr">
        <is>
          <t>典型延遲 (μs)</t>
        </is>
      </c>
      <c r="B15" s="9" t="n">
        <v>8</v>
      </c>
      <c r="C15" s="9" t="n">
        <v>12</v>
      </c>
      <c r="D15" s="9" t="n">
        <v>10</v>
      </c>
      <c r="E15" s="9" t="n">
        <v>1000</v>
      </c>
      <c r="F15" s="9" t="n">
        <v>500</v>
      </c>
      <c r="G15" s="9" t="n">
        <v>8000</v>
      </c>
      <c r="H15" s="10" t="inlineStr">
        <is>
          <t>μs</t>
        </is>
      </c>
    </row>
    <row r="16">
      <c r="A16" s="6" t="inlineStr">
        <is>
          <t>隨機 4K 讀取 (MB/s)</t>
        </is>
      </c>
      <c r="B16" s="11" t="n">
        <v>800</v>
      </c>
      <c r="C16" s="11" t="n">
        <v>600</v>
      </c>
      <c r="D16" s="11" t="n">
        <v>700</v>
      </c>
      <c r="E16" s="11" t="n">
        <v>15</v>
      </c>
      <c r="F16" s="11" t="n">
        <v>30</v>
      </c>
      <c r="G16" s="11" t="n">
        <v>0.5</v>
      </c>
      <c r="H16" s="7" t="inlineStr">
        <is>
          <t>MB/s</t>
        </is>
      </c>
    </row>
    <row r="17">
      <c r="A17" s="4" t="inlineStr">
        <is>
          <t>容量與擴展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單裝置最大容量 (TB)</t>
        </is>
      </c>
      <c r="B18" s="11" t="n">
        <v>1</v>
      </c>
      <c r="C18" s="11" t="n">
        <v>4</v>
      </c>
      <c r="D18" s="11" t="n">
        <v>8</v>
      </c>
      <c r="E18" s="11" t="n">
        <v>2</v>
      </c>
      <c r="F18" s="11" t="n">
        <v>4</v>
      </c>
      <c r="G18" s="11" t="n">
        <v>20</v>
      </c>
      <c r="H18" s="7" t="inlineStr">
        <is>
          <t>TB</t>
        </is>
      </c>
    </row>
    <row r="19">
      <c r="A19" s="8" t="inlineStr">
        <is>
          <t>VRAM 擴展倍率</t>
        </is>
      </c>
      <c r="B19" s="9" t="n">
        <v>78</v>
      </c>
      <c r="C19" s="9" t="n">
        <v>308</v>
      </c>
      <c r="D19" s="9" t="n">
        <v>615</v>
      </c>
      <c r="E19" s="9" t="n">
        <v>155</v>
      </c>
      <c r="F19" s="9" t="n">
        <v>308</v>
      </c>
      <c r="G19" s="9" t="n">
        <v>1540</v>
      </c>
      <c r="H19" s="10" t="inlineStr">
        <is>
          <t>x (RTX 4070 12GB)</t>
        </is>
      </c>
    </row>
    <row r="20">
      <c r="A20" s="6" t="inlineStr">
        <is>
          <t>可擴展 VRAM (GB)</t>
        </is>
      </c>
      <c r="B20" s="11" t="n">
        <v>921</v>
      </c>
      <c r="C20" s="11" t="n">
        <v>3685</v>
      </c>
      <c r="D20" s="11" t="n">
        <v>7384</v>
      </c>
      <c r="E20" s="11" t="n">
        <v>1854</v>
      </c>
      <c r="F20" s="11" t="n">
        <v>3685</v>
      </c>
      <c r="G20" s="11" t="n">
        <v>18420</v>
      </c>
      <c r="H20" s="7" t="inlineStr">
        <is>
          <t>GB</t>
        </is>
      </c>
    </row>
    <row r="21">
      <c r="A21" s="4" t="inlineStr">
        <is>
          <t>最佳化技術 (SlowDeviceOptimizer)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6" t="inlineStr">
        <is>
          <t>即時壓縮</t>
        </is>
      </c>
      <c r="B22" s="7" t="inlineStr">
        <is>
          <t>不需要</t>
        </is>
      </c>
      <c r="C22" s="7" t="inlineStr">
        <is>
          <t>不需要</t>
        </is>
      </c>
      <c r="D22" s="7" t="inlineStr">
        <is>
          <t>不需要</t>
        </is>
      </c>
      <c r="E22" s="7" t="inlineStr">
        <is>
          <t>zlib 2.5x</t>
        </is>
      </c>
      <c r="F22" s="7" t="inlineStr">
        <is>
          <t>zlib 2.5x</t>
        </is>
      </c>
      <c r="G22" s="7" t="inlineStr">
        <is>
          <t>zlib 2.5x</t>
        </is>
      </c>
      <c r="H22" s="7" t="inlineStr">
        <is>
          <t>CPU 解壓 4-8 GB/s</t>
        </is>
      </c>
    </row>
    <row r="23">
      <c r="A23" s="8" t="inlineStr">
        <is>
          <t>KV Cache 量化</t>
        </is>
      </c>
      <c r="B23" s="10" t="inlineStr">
        <is>
          <t>不需要</t>
        </is>
      </c>
      <c r="C23" s="10" t="inlineStr">
        <is>
          <t>不需要</t>
        </is>
      </c>
      <c r="D23" s="10" t="inlineStr">
        <is>
          <t>不需要</t>
        </is>
      </c>
      <c r="E23" s="10" t="inlineStr">
        <is>
          <t>INT8 (2x)</t>
        </is>
      </c>
      <c r="F23" s="10" t="inlineStr">
        <is>
          <t>INT8 (2x)</t>
        </is>
      </c>
      <c r="G23" s="10" t="inlineStr">
        <is>
          <t>INT8 (2x)</t>
        </is>
      </c>
      <c r="H23" s="10" t="inlineStr">
        <is>
          <t>精度損失 &lt;1%</t>
        </is>
      </c>
    </row>
    <row r="24">
      <c r="A24" s="6" t="inlineStr">
        <is>
          <t>RAM Write-Back</t>
        </is>
      </c>
      <c r="B24" s="7" t="inlineStr">
        <is>
          <t>不需要</t>
        </is>
      </c>
      <c r="C24" s="7" t="inlineStr">
        <is>
          <t>不需要</t>
        </is>
      </c>
      <c r="D24" s="7" t="inlineStr">
        <is>
          <t>不需要</t>
        </is>
      </c>
      <c r="E24" s="7" t="inlineStr">
        <is>
          <t>256 MB</t>
        </is>
      </c>
      <c r="F24" s="7" t="inlineStr">
        <is>
          <t>256 MB</t>
        </is>
      </c>
      <c r="G24" s="7" t="inlineStr">
        <is>
          <t>512 MB</t>
        </is>
      </c>
      <c r="H24" s="7" t="inlineStr">
        <is>
          <t>批次寫入緩衝</t>
        </is>
      </c>
    </row>
    <row r="25">
      <c r="A25" s="8" t="inlineStr">
        <is>
          <t>順序塊大小 (KB)</t>
        </is>
      </c>
      <c r="B25" s="9" t="n">
        <v>4</v>
      </c>
      <c r="C25" s="9" t="n">
        <v>4</v>
      </c>
      <c r="D25" s="9" t="n">
        <v>4</v>
      </c>
      <c r="E25" s="9" t="n">
        <v>512</v>
      </c>
      <c r="F25" s="9" t="n">
        <v>1024</v>
      </c>
      <c r="G25" s="9" t="n">
        <v>4096</v>
      </c>
      <c r="H25" s="10" t="inlineStr">
        <is>
          <t>KB (HDD 必須大塊)</t>
        </is>
      </c>
    </row>
    <row r="26">
      <c r="A26" s="6" t="inlineStr">
        <is>
          <t>預取引擎</t>
        </is>
      </c>
      <c r="B26" s="7" t="inlineStr">
        <is>
          <t>Adaptive 2層</t>
        </is>
      </c>
      <c r="C26" s="7" t="inlineStr">
        <is>
          <t>Adaptive 2層</t>
        </is>
      </c>
      <c r="D26" s="7" t="inlineStr">
        <is>
          <t>Adaptive 3層</t>
        </is>
      </c>
      <c r="E26" s="7" t="inlineStr">
        <is>
          <t>Sequential 1層</t>
        </is>
      </c>
      <c r="F26" s="7" t="inlineStr">
        <is>
          <t>Sequential 1層</t>
        </is>
      </c>
      <c r="G26" s="7" t="inlineStr">
        <is>
          <t>不適用</t>
        </is>
      </c>
      <c r="H26" s="7" t="inlineStr"/>
    </row>
    <row r="27">
      <c r="A27" s="4" t="inlineStr">
        <is>
          <t>效能預估 (RTX 4070 + Llama-3 70B Q4, 40GB)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6" t="inlineStr">
        <is>
          <t>70B 能否運行</t>
        </is>
      </c>
      <c r="B28" s="7" t="inlineStr">
        <is>
          <t>可以</t>
        </is>
      </c>
      <c r="C28" s="7" t="inlineStr">
        <is>
          <t>可以</t>
        </is>
      </c>
      <c r="D28" s="7" t="inlineStr">
        <is>
          <t>可以</t>
        </is>
      </c>
      <c r="E28" s="7" t="inlineStr">
        <is>
          <t>勉強(慢)</t>
        </is>
      </c>
      <c r="F28" s="7" t="inlineStr">
        <is>
          <t>可以(慢)</t>
        </is>
      </c>
      <c r="G28" s="7" t="inlineStr">
        <is>
          <t>僅預載</t>
        </is>
      </c>
      <c r="H28" s="7" t="inlineStr">
        <is>
          <t>原本 OOM 崩潰</t>
        </is>
      </c>
    </row>
    <row r="29">
      <c r="A29" s="8" t="inlineStr">
        <is>
          <t>推理速度 (tok/s)</t>
        </is>
      </c>
      <c r="B29" s="9" t="n">
        <v>3.54</v>
      </c>
      <c r="C29" s="9" t="n">
        <v>6.92</v>
      </c>
      <c r="D29" s="9" t="n">
        <v>8.5</v>
      </c>
      <c r="E29" s="9" t="n">
        <v>0.35</v>
      </c>
      <c r="F29" s="9" t="n">
        <v>0.8</v>
      </c>
      <c r="G29" s="9" t="n">
        <v>0</v>
      </c>
      <c r="H29" s="10" t="inlineStr">
        <is>
          <t>tok/s</t>
        </is>
      </c>
    </row>
    <row r="30">
      <c r="A30" s="6" t="inlineStr">
        <is>
          <t>Context (8B, tokens)</t>
        </is>
      </c>
      <c r="B30" s="11" t="n">
        <v>7600000</v>
      </c>
      <c r="C30" s="11" t="n">
        <v>28000000</v>
      </c>
      <c r="D30" s="11" t="n">
        <v>60450000</v>
      </c>
      <c r="E30" s="11" t="n">
        <v>1500000</v>
      </c>
      <c r="F30" s="11" t="n">
        <v>3000000</v>
      </c>
      <c r="G30" s="11" t="n">
        <v>1500000</v>
      </c>
      <c r="H30" s="7" t="inlineStr">
        <is>
          <t>tokens</t>
        </is>
      </c>
    </row>
    <row r="31">
      <c r="A31" s="8" t="inlineStr">
        <is>
          <t>Context 提升倍數</t>
        </is>
      </c>
      <c r="B31" s="9" t="n">
        <v>130</v>
      </c>
      <c r="C31" s="9" t="n">
        <v>490</v>
      </c>
      <c r="D31" s="9" t="n">
        <v>1000</v>
      </c>
      <c r="E31" s="9" t="n">
        <v>26</v>
      </c>
      <c r="F31" s="9" t="n">
        <v>52</v>
      </c>
      <c r="G31" s="9" t="n">
        <v>26</v>
      </c>
      <c r="H31" s="10" t="inlineStr">
        <is>
          <t>x (vs 5.7萬)</t>
        </is>
      </c>
    </row>
    <row r="32">
      <c r="A32" s="4" t="inlineStr">
        <is>
          <t>硬體門檻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s="8" t="inlineStr">
        <is>
          <t>介面需求</t>
        </is>
      </c>
      <c r="B33" s="10" t="inlineStr">
        <is>
          <t>SD Express 讀卡機</t>
        </is>
      </c>
      <c r="C33" s="10" t="inlineStr">
        <is>
          <t>USB4 控制器</t>
        </is>
      </c>
      <c r="D33" s="10" t="inlineStr">
        <is>
          <t>TB4/5 控制器</t>
        </is>
      </c>
      <c r="E33" s="10" t="inlineStr">
        <is>
          <t>任何讀卡機</t>
        </is>
      </c>
      <c r="F33" s="10" t="inlineStr">
        <is>
          <t>任何 USB 埠</t>
        </is>
      </c>
      <c r="G33" s="10" t="inlineStr">
        <is>
          <t>任何 USB 埠</t>
        </is>
      </c>
      <c r="H33" s="10" t="inlineStr"/>
    </row>
    <row r="34">
      <c r="A34" s="6" t="inlineStr">
        <is>
          <t>市場普及度</t>
        </is>
      </c>
      <c r="B34" s="7" t="inlineStr">
        <is>
          <t>極低</t>
        </is>
      </c>
      <c r="C34" s="7" t="inlineStr">
        <is>
          <t>中等</t>
        </is>
      </c>
      <c r="D34" s="7" t="inlineStr">
        <is>
          <t>中等</t>
        </is>
      </c>
      <c r="E34" s="7" t="inlineStr">
        <is>
          <t>極高</t>
        </is>
      </c>
      <c r="F34" s="7" t="inlineStr">
        <is>
          <t>極高</t>
        </is>
      </c>
      <c r="G34" s="7" t="inlineStr">
        <is>
          <t>極高</t>
        </is>
      </c>
      <c r="H34" s="7" t="inlineStr"/>
    </row>
    <row r="35">
      <c r="A35" s="8" t="inlineStr">
        <is>
          <t>熱插拔安全性</t>
        </is>
      </c>
      <c r="B35" s="10" t="inlineStr">
        <is>
          <t>需防護</t>
        </is>
      </c>
      <c r="C35" s="10" t="inlineStr">
        <is>
          <t>需嚴格防護</t>
        </is>
      </c>
      <c r="D35" s="10" t="inlineStr">
        <is>
          <t>需嚴格防護</t>
        </is>
      </c>
      <c r="E35" s="10" t="inlineStr">
        <is>
          <t>安全</t>
        </is>
      </c>
      <c r="F35" s="10" t="inlineStr">
        <is>
          <t>安全</t>
        </is>
      </c>
      <c r="G35" s="10" t="inlineStr">
        <is>
          <t>安全</t>
        </is>
      </c>
      <c r="H35" s="10" t="inlineStr">
        <is>
          <t>Legacy 用檔案 I/O</t>
        </is>
      </c>
    </row>
  </sheetData>
  <mergeCells count="8">
    <mergeCell ref="A1:H1"/>
    <mergeCell ref="A21:H21"/>
    <mergeCell ref="A2:H2"/>
    <mergeCell ref="A10:H10"/>
    <mergeCell ref="A5:H5"/>
    <mergeCell ref="A32:H32"/>
    <mergeCell ref="A27:H27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</cols>
  <sheetData>
    <row r="1" ht="40" customHeight="1">
      <c r="A1" s="1" t="inlineStr">
        <is>
          <t>六種方案成本效益分析 (vs A100 80GB 對照)</t>
        </is>
      </c>
    </row>
    <row r="3">
      <c r="A3" s="3" t="inlineStr">
        <is>
          <t>項目</t>
        </is>
      </c>
      <c r="B3" s="3" t="inlineStr">
        <is>
          <t>SD Express</t>
        </is>
      </c>
      <c r="C3" s="3" t="inlineStr">
        <is>
          <t>USB4/TB</t>
        </is>
      </c>
      <c r="D3" s="3" t="inlineStr">
        <is>
          <t>NVMe 外接盒</t>
        </is>
      </c>
      <c r="E3" s="3" t="inlineStr">
        <is>
          <t>普通 SD 卡</t>
        </is>
      </c>
      <c r="F3" s="3" t="inlineStr">
        <is>
          <t>普通 USB 碟</t>
        </is>
      </c>
      <c r="G3" s="3" t="inlineStr">
        <is>
          <t>外接 HDD</t>
        </is>
      </c>
      <c r="H3" s="3" t="inlineStr">
        <is>
          <t>A100 80GB</t>
        </is>
      </c>
      <c r="I3" s="3" t="inlineStr">
        <is>
          <t>單位</t>
        </is>
      </c>
    </row>
    <row r="4">
      <c r="A4" s="4" t="inlineStr">
        <is>
          <t>硬體成本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8" t="inlineStr">
        <is>
          <t>儲存裝置</t>
        </is>
      </c>
      <c r="B5" s="9" t="n">
        <v>150</v>
      </c>
      <c r="C5" s="9" t="n">
        <v>120</v>
      </c>
      <c r="D5" s="9" t="n">
        <v>80</v>
      </c>
      <c r="E5" s="9" t="n">
        <v>30</v>
      </c>
      <c r="F5" s="9" t="n">
        <v>25</v>
      </c>
      <c r="G5" s="9" t="n">
        <v>50</v>
      </c>
      <c r="H5" s="10" t="inlineStr">
        <is>
          <t>N/A</t>
        </is>
      </c>
      <c r="I5" s="10" t="inlineStr">
        <is>
          <t>USD</t>
        </is>
      </c>
    </row>
    <row r="6">
      <c r="A6" s="6" t="inlineStr">
        <is>
          <t>介面/轉接器</t>
        </is>
      </c>
      <c r="B6" s="11" t="n">
        <v>80</v>
      </c>
      <c r="C6" s="11" t="n">
        <v>0</v>
      </c>
      <c r="D6" s="11" t="n">
        <v>35</v>
      </c>
      <c r="E6" s="11" t="n">
        <v>0</v>
      </c>
      <c r="F6" s="11" t="n">
        <v>0</v>
      </c>
      <c r="G6" s="11" t="n">
        <v>0</v>
      </c>
      <c r="H6" s="7" t="inlineStr">
        <is>
          <t>N/A</t>
        </is>
      </c>
      <c r="I6" s="7" t="inlineStr">
        <is>
          <t>USD</t>
        </is>
      </c>
    </row>
    <row r="7">
      <c r="A7" s="8" t="inlineStr">
        <is>
          <t>GPU (RTX 4070)</t>
        </is>
      </c>
      <c r="B7" s="9" t="n">
        <v>500</v>
      </c>
      <c r="C7" s="9" t="n">
        <v>500</v>
      </c>
      <c r="D7" s="9" t="n">
        <v>500</v>
      </c>
      <c r="E7" s="9" t="n">
        <v>500</v>
      </c>
      <c r="F7" s="9" t="n">
        <v>500</v>
      </c>
      <c r="G7" s="9" t="n">
        <v>500</v>
      </c>
      <c r="H7" s="9" t="n">
        <v>15000</v>
      </c>
      <c r="I7" s="10" t="inlineStr">
        <is>
          <t>USD</t>
        </is>
      </c>
    </row>
    <row r="8">
      <c r="A8" s="12" t="inlineStr">
        <is>
          <t>硬體總成本</t>
        </is>
      </c>
      <c r="B8" s="13">
        <f>SUM(B5:B7)</f>
        <v/>
      </c>
      <c r="C8" s="13">
        <f>SUM(C5:C7)</f>
        <v/>
      </c>
      <c r="D8" s="13">
        <f>SUM(D5:D7)</f>
        <v/>
      </c>
      <c r="E8" s="13">
        <f>SUM(E5:E7)</f>
        <v/>
      </c>
      <c r="F8" s="13">
        <f>SUM(F5:F7)</f>
        <v/>
      </c>
      <c r="G8" s="13">
        <f>SUM(G5:G7)</f>
        <v/>
      </c>
      <c r="H8" s="13">
        <f>SUM(H5:H7)</f>
        <v/>
      </c>
      <c r="I8" s="14" t="inlineStr">
        <is>
          <t>USD</t>
        </is>
      </c>
    </row>
    <row r="9">
      <c r="A9" s="4" t="inlineStr">
        <is>
          <t>軟體與時間成本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軟體授權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7" t="inlineStr">
        <is>
          <t>USD (開源)</t>
        </is>
      </c>
    </row>
    <row r="11">
      <c r="A11" s="8" t="inlineStr">
        <is>
          <t>安裝時間 (分鐘)</t>
        </is>
      </c>
      <c r="B11" s="9" t="n">
        <v>10</v>
      </c>
      <c r="C11" s="9" t="n">
        <v>5</v>
      </c>
      <c r="D11" s="9" t="n">
        <v>5</v>
      </c>
      <c r="E11" s="9" t="n">
        <v>2</v>
      </c>
      <c r="F11" s="9" t="n">
        <v>2</v>
      </c>
      <c r="G11" s="9" t="n">
        <v>2</v>
      </c>
      <c r="H11" s="9" t="n">
        <v>480</v>
      </c>
      <c r="I11" s="10" t="inlineStr">
        <is>
          <t>分鐘</t>
        </is>
      </c>
    </row>
    <row r="12">
      <c r="A12" s="4" t="inlineStr">
        <is>
          <t>效益指標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8" t="inlineStr">
        <is>
          <t>可用總 VRAM (GB)</t>
        </is>
      </c>
      <c r="B13" s="9" t="n">
        <v>933</v>
      </c>
      <c r="C13" s="9" t="n">
        <v>3697</v>
      </c>
      <c r="D13" s="9" t="n">
        <v>7396</v>
      </c>
      <c r="E13" s="9" t="n">
        <v>512</v>
      </c>
      <c r="F13" s="9" t="n">
        <v>1024</v>
      </c>
      <c r="G13" s="9" t="n">
        <v>4096</v>
      </c>
      <c r="H13" s="9" t="n">
        <v>80</v>
      </c>
      <c r="I13" s="10" t="inlineStr">
        <is>
          <t>GB</t>
        </is>
      </c>
    </row>
    <row r="14">
      <c r="A14" s="6" t="inlineStr">
        <is>
          <t>70B Q4 推理速度</t>
        </is>
      </c>
      <c r="B14" s="11" t="n">
        <v>3.54</v>
      </c>
      <c r="C14" s="11" t="n">
        <v>6.92</v>
      </c>
      <c r="D14" s="11" t="n">
        <v>8.5</v>
      </c>
      <c r="E14" s="11" t="n">
        <v>0.35</v>
      </c>
      <c r="F14" s="11" t="n">
        <v>0.8</v>
      </c>
      <c r="G14" s="11" t="n">
        <v>0</v>
      </c>
      <c r="H14" s="11" t="n">
        <v>45</v>
      </c>
      <c r="I14" s="7" t="inlineStr">
        <is>
          <t>tok/s</t>
        </is>
      </c>
    </row>
    <row r="15">
      <c r="A15" s="8" t="inlineStr">
        <is>
          <t>Context Window (8B)</t>
        </is>
      </c>
      <c r="B15" s="9" t="n">
        <v>7600000</v>
      </c>
      <c r="C15" s="9" t="n">
        <v>28000000</v>
      </c>
      <c r="D15" s="9" t="n">
        <v>60450000</v>
      </c>
      <c r="E15" s="9" t="n">
        <v>1500000</v>
      </c>
      <c r="F15" s="9" t="n">
        <v>3000000</v>
      </c>
      <c r="G15" s="9" t="n">
        <v>1500000</v>
      </c>
      <c r="H15" s="9" t="n">
        <v>130000</v>
      </c>
      <c r="I15" s="10" t="inlineStr">
        <is>
          <t>tokens</t>
        </is>
      </c>
    </row>
    <row r="16">
      <c r="A16" s="12" t="inlineStr">
        <is>
          <t>每 tok/s 成本</t>
        </is>
      </c>
      <c r="B16" s="13">
        <f>IF(ISNUMBER(B14),IF(B14&gt;0,B8/B14,"N/A"),"N/A")</f>
        <v/>
      </c>
      <c r="C16" s="13">
        <f>IF(ISNUMBER(C14),IF(C14&gt;0,C8/C14,"N/A"),"N/A")</f>
        <v/>
      </c>
      <c r="D16" s="13">
        <f>IF(ISNUMBER(D14),IF(D14&gt;0,D8/D14,"N/A"),"N/A")</f>
        <v/>
      </c>
      <c r="E16" s="13">
        <f>IF(ISNUMBER(E14),IF(E14&gt;0,E8/E14,"N/A"),"N/A")</f>
        <v/>
      </c>
      <c r="F16" s="13">
        <f>IF(ISNUMBER(F14),IF(F14&gt;0,F8/F14,"N/A"),"N/A")</f>
        <v/>
      </c>
      <c r="G16" s="13">
        <f>IF(ISNUMBER(G14),IF(G14&gt;0,G8/G14,"N/A"),"N/A")</f>
        <v/>
      </c>
      <c r="H16" s="13">
        <f>IF(ISNUMBER(H14),IF(H14&gt;0,H8/H14,"N/A"),"N/A")</f>
        <v/>
      </c>
      <c r="I16" s="14" t="inlineStr">
        <is>
          <t>USD/tok/s</t>
        </is>
      </c>
    </row>
    <row r="17">
      <c r="A17" s="12" t="inlineStr">
        <is>
          <t>每 GB VRAM 成本</t>
        </is>
      </c>
      <c r="B17" s="15">
        <f>IF(ISNUMBER(B13),B8/B13,"N/A")</f>
        <v/>
      </c>
      <c r="C17" s="15">
        <f>IF(ISNUMBER(C13),C8/C13,"N/A")</f>
        <v/>
      </c>
      <c r="D17" s="15">
        <f>IF(ISNUMBER(D13),D8/D13,"N/A")</f>
        <v/>
      </c>
      <c r="E17" s="15">
        <f>IF(ISNUMBER(E13),E8/E13,"N/A")</f>
        <v/>
      </c>
      <c r="F17" s="15">
        <f>IF(ISNUMBER(F13),F8/F13,"N/A")</f>
        <v/>
      </c>
      <c r="G17" s="15">
        <f>IF(ISNUMBER(G13),G8/G13,"N/A")</f>
        <v/>
      </c>
      <c r="H17" s="15">
        <f>IF(ISNUMBER(H13),H8/H13,"N/A")</f>
        <v/>
      </c>
      <c r="I17" s="14" t="inlineStr">
        <is>
          <t>USD/GB</t>
        </is>
      </c>
    </row>
    <row r="18">
      <c r="A18" s="12" t="inlineStr">
        <is>
          <t>vs A100 節省比例</t>
        </is>
      </c>
      <c r="B18" s="16">
        <f>IF(ISNUMBER(B8),1-B8/H8,"N/A")</f>
        <v/>
      </c>
      <c r="C18" s="16">
        <f>IF(ISNUMBER(C8),1-C8/H8,"N/A")</f>
        <v/>
      </c>
      <c r="D18" s="16">
        <f>IF(ISNUMBER(D8),1-D8/H8,"N/A")</f>
        <v/>
      </c>
      <c r="E18" s="16">
        <f>IF(ISNUMBER(E8),1-E8/H8,"N/A")</f>
        <v/>
      </c>
      <c r="F18" s="16">
        <f>IF(ISNUMBER(F8),1-F8/H8,"N/A")</f>
        <v/>
      </c>
      <c r="G18" s="16">
        <f>IF(ISNUMBER(G8),1-G8/H8,"N/A")</f>
        <v/>
      </c>
      <c r="H18" s="10" t="inlineStr">
        <is>
          <t>—</t>
        </is>
      </c>
      <c r="I18" s="14" t="inlineStr">
        <is>
          <t>% 節省</t>
        </is>
      </c>
    </row>
  </sheetData>
  <mergeCells count="4">
    <mergeCell ref="A1:I1"/>
    <mergeCell ref="A12:I12"/>
    <mergeCell ref="A4:I4"/>
    <mergeCell ref="A9:I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40" customHeight="1">
      <c r="A1" s="1" t="inlineStr">
        <is>
          <t>軟體架構與最佳化技術比較</t>
        </is>
      </c>
    </row>
    <row r="3">
      <c r="A3" s="3" t="inlineStr">
        <is>
          <t>模組</t>
        </is>
      </c>
      <c r="B3" s="3" t="inlineStr">
        <is>
          <t>SD Express</t>
        </is>
      </c>
      <c r="C3" s="3" t="inlineStr">
        <is>
          <t>USB4/TB</t>
        </is>
      </c>
      <c r="D3" s="3" t="inlineStr">
        <is>
          <t>NVMe 外接盒</t>
        </is>
      </c>
      <c r="E3" s="3" t="inlineStr">
        <is>
          <t>普通 SD 卡</t>
        </is>
      </c>
      <c r="F3" s="3" t="inlineStr">
        <is>
          <t>普通 USB 碟</t>
        </is>
      </c>
      <c r="G3" s="3" t="inlineStr">
        <is>
          <t>外接 HDD</t>
        </is>
      </c>
      <c r="H3" s="3" t="inlineStr">
        <is>
          <t>說明</t>
        </is>
      </c>
    </row>
    <row r="4">
      <c r="A4" s="4" t="inlineStr">
        <is>
          <t>裝置驅動層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8" t="inlineStr">
        <is>
          <t>驅動模組</t>
        </is>
      </c>
      <c r="B5" s="10" t="inlineStr">
        <is>
          <t>sd_express.py</t>
        </is>
      </c>
      <c r="C5" s="10" t="inlineStr">
        <is>
          <t>usb_storage.py</t>
        </is>
      </c>
      <c r="D5" s="10" t="inlineStr">
        <is>
          <t>enclosure_nvme.py</t>
        </is>
      </c>
      <c r="E5" s="10" t="inlineStr">
        <is>
          <t>sd_legacy.py</t>
        </is>
      </c>
      <c r="F5" s="10" t="inlineStr">
        <is>
          <t>usb_legacy.py</t>
        </is>
      </c>
      <c r="G5" s="10" t="inlineStr">
        <is>
          <t>hdd_external.py</t>
        </is>
      </c>
      <c r="H5" s="10" t="inlineStr">
        <is>
          <t>每種裝置獨立驅動</t>
        </is>
      </c>
    </row>
    <row r="6">
      <c r="A6" s="6" t="inlineStr">
        <is>
          <t>I/O 模式</t>
        </is>
      </c>
      <c r="B6" s="7" t="inlineStr">
        <is>
          <t>Block Device</t>
        </is>
      </c>
      <c r="C6" s="7" t="inlineStr">
        <is>
          <t>Block Device</t>
        </is>
      </c>
      <c r="D6" s="7" t="inlineStr">
        <is>
          <t>Block Device</t>
        </is>
      </c>
      <c r="E6" s="7" t="inlineStr">
        <is>
          <t>File System</t>
        </is>
      </c>
      <c r="F6" s="7" t="inlineStr">
        <is>
          <t>File System</t>
        </is>
      </c>
      <c r="G6" s="7" t="inlineStr">
        <is>
          <t>File System</t>
        </is>
      </c>
      <c r="H6" s="7" t="inlineStr">
        <is>
          <t>Legacy 不需 Admin</t>
        </is>
      </c>
    </row>
    <row r="7">
      <c r="A7" s="8" t="inlineStr">
        <is>
          <t>微系統</t>
        </is>
      </c>
      <c r="B7" s="10" t="inlineStr">
        <is>
          <t>SDVRAMSystem</t>
        </is>
      </c>
      <c r="C7" s="10" t="inlineStr">
        <is>
          <t>USBVRAMSystem</t>
        </is>
      </c>
      <c r="D7" s="10" t="inlineStr">
        <is>
          <t>EncVRAMSystem</t>
        </is>
      </c>
      <c r="E7" s="10" t="inlineStr">
        <is>
          <t>SDLegacySystem</t>
        </is>
      </c>
      <c r="F7" s="10" t="inlineStr">
        <is>
          <t>USBLegacySystem</t>
        </is>
      </c>
      <c r="G7" s="10" t="inlineStr">
        <is>
          <t>HDDVRAMSystem</t>
        </is>
      </c>
      <c r="H7" s="10" t="inlineStr"/>
    </row>
    <row r="8">
      <c r="A8" s="6" t="inlineStr">
        <is>
          <t>Transfer Workers</t>
        </is>
      </c>
      <c r="B8" s="11" t="n">
        <v>4</v>
      </c>
      <c r="C8" s="11" t="n">
        <v>4</v>
      </c>
      <c r="D8" s="11" t="n">
        <v>8</v>
      </c>
      <c r="E8" s="11" t="n">
        <v>2</v>
      </c>
      <c r="F8" s="11" t="n">
        <v>2</v>
      </c>
      <c r="G8" s="11" t="n">
        <v>1</v>
      </c>
      <c r="H8" s="7" t="inlineStr">
        <is>
          <t>HDD 單執行緒</t>
        </is>
      </c>
    </row>
    <row r="9">
      <c r="A9" s="4" t="inlineStr">
        <is>
          <t>共用核心模組 (11 個)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6" t="inlineStr">
        <is>
          <t>CUDA 攔截器</t>
        </is>
      </c>
      <c r="B10" s="17" t="inlineStr">
        <is>
          <t>V</t>
        </is>
      </c>
      <c r="C10" s="17" t="inlineStr">
        <is>
          <t>V</t>
        </is>
      </c>
      <c r="D10" s="17" t="inlineStr">
        <is>
          <t>V</t>
        </is>
      </c>
      <c r="E10" s="17" t="inlineStr">
        <is>
          <t>V</t>
        </is>
      </c>
      <c r="F10" s="17" t="inlineStr">
        <is>
          <t>V</t>
        </is>
      </c>
      <c r="G10" s="17" t="inlineStr">
        <is>
          <t>V</t>
        </is>
      </c>
      <c r="H10" s="7" t="inlineStr">
        <is>
          <t>cudaMalloc 重定向</t>
        </is>
      </c>
    </row>
    <row r="11">
      <c r="A11" s="8" t="inlineStr">
        <is>
          <t>三層記憶體池</t>
        </is>
      </c>
      <c r="B11" s="17" t="inlineStr">
        <is>
          <t>V</t>
        </is>
      </c>
      <c r="C11" s="17" t="inlineStr">
        <is>
          <t>V</t>
        </is>
      </c>
      <c r="D11" s="17" t="inlineStr">
        <is>
          <t>V</t>
        </is>
      </c>
      <c r="E11" s="17" t="inlineStr">
        <is>
          <t>V</t>
        </is>
      </c>
      <c r="F11" s="17" t="inlineStr">
        <is>
          <t>V</t>
        </is>
      </c>
      <c r="G11" s="17" t="inlineStr">
        <is>
          <t>V</t>
        </is>
      </c>
      <c r="H11" s="10" t="inlineStr">
        <is>
          <t>VRAM-&gt;RAM-&gt;External</t>
        </is>
      </c>
    </row>
    <row r="12">
      <c r="A12" s="6" t="inlineStr">
        <is>
          <t>預取引擎</t>
        </is>
      </c>
      <c r="B12" s="7" t="inlineStr">
        <is>
          <t>Adaptive</t>
        </is>
      </c>
      <c r="C12" s="7" t="inlineStr">
        <is>
          <t>Adaptive</t>
        </is>
      </c>
      <c r="D12" s="7" t="inlineStr">
        <is>
          <t>Adaptive</t>
        </is>
      </c>
      <c r="E12" s="7" t="inlineStr">
        <is>
          <t>Sequential</t>
        </is>
      </c>
      <c r="F12" s="7" t="inlineStr">
        <is>
          <t>Sequential</t>
        </is>
      </c>
      <c r="G12" s="18" t="inlineStr">
        <is>
          <t>X</t>
        </is>
      </c>
      <c r="H12" s="7" t="inlineStr">
        <is>
          <t>HDD 隨機讀太慢</t>
        </is>
      </c>
    </row>
    <row r="13">
      <c r="A13" s="8" t="inlineStr">
        <is>
          <t>健康監控</t>
        </is>
      </c>
      <c r="B13" s="17" t="inlineStr">
        <is>
          <t>V</t>
        </is>
      </c>
      <c r="C13" s="17" t="inlineStr">
        <is>
          <t>V</t>
        </is>
      </c>
      <c r="D13" s="17" t="inlineStr">
        <is>
          <t>V</t>
        </is>
      </c>
      <c r="E13" s="17" t="inlineStr">
        <is>
          <t>V</t>
        </is>
      </c>
      <c r="F13" s="17" t="inlineStr">
        <is>
          <t>V</t>
        </is>
      </c>
      <c r="G13" s="17" t="inlineStr">
        <is>
          <t>V</t>
        </is>
      </c>
      <c r="H13" s="10" t="inlineStr">
        <is>
          <t>溫度/壽命/連線</t>
        </is>
      </c>
    </row>
    <row r="14">
      <c r="A14" s="6" t="inlineStr">
        <is>
          <t>Circuit Breaker</t>
        </is>
      </c>
      <c r="B14" s="17" t="inlineStr">
        <is>
          <t>V</t>
        </is>
      </c>
      <c r="C14" s="17" t="inlineStr">
        <is>
          <t>V</t>
        </is>
      </c>
      <c r="D14" s="17" t="inlineStr">
        <is>
          <t>V</t>
        </is>
      </c>
      <c r="E14" s="17" t="inlineStr">
        <is>
          <t>V</t>
        </is>
      </c>
      <c r="F14" s="17" t="inlineStr">
        <is>
          <t>V</t>
        </is>
      </c>
      <c r="G14" s="17" t="inlineStr">
        <is>
          <t>V</t>
        </is>
      </c>
      <c r="H14" s="7" t="inlineStr">
        <is>
          <t>故障自動斷路</t>
        </is>
      </c>
    </row>
    <row r="15">
      <c r="A15" s="8" t="inlineStr">
        <is>
          <t>Recovery Chain</t>
        </is>
      </c>
      <c r="B15" s="17" t="inlineStr">
        <is>
          <t>V</t>
        </is>
      </c>
      <c r="C15" s="17" t="inlineStr">
        <is>
          <t>V</t>
        </is>
      </c>
      <c r="D15" s="17" t="inlineStr">
        <is>
          <t>V</t>
        </is>
      </c>
      <c r="E15" s="17" t="inlineStr">
        <is>
          <t>V</t>
        </is>
      </c>
      <c r="F15" s="17" t="inlineStr">
        <is>
          <t>V</t>
        </is>
      </c>
      <c r="G15" s="17" t="inlineStr">
        <is>
          <t>V</t>
        </is>
      </c>
      <c r="H15" s="10" t="inlineStr">
        <is>
          <t>5 級鏈式恢復</t>
        </is>
      </c>
    </row>
    <row r="16">
      <c r="A16" s="6" t="inlineStr">
        <is>
          <t>Event Hooks</t>
        </is>
      </c>
      <c r="B16" s="17" t="inlineStr">
        <is>
          <t>V</t>
        </is>
      </c>
      <c r="C16" s="17" t="inlineStr">
        <is>
          <t>V</t>
        </is>
      </c>
      <c r="D16" s="17" t="inlineStr">
        <is>
          <t>V</t>
        </is>
      </c>
      <c r="E16" s="17" t="inlineStr">
        <is>
          <t>V</t>
        </is>
      </c>
      <c r="F16" s="17" t="inlineStr">
        <is>
          <t>V</t>
        </is>
      </c>
      <c r="G16" s="17" t="inlineStr">
        <is>
          <t>V</t>
        </is>
      </c>
      <c r="H16" s="7" t="inlineStr">
        <is>
          <t>11 種事件鉤子</t>
        </is>
      </c>
    </row>
    <row r="17">
      <c r="A17" s="8" t="inlineStr">
        <is>
          <t>Undo Manager</t>
        </is>
      </c>
      <c r="B17" s="17" t="inlineStr">
        <is>
          <t>V</t>
        </is>
      </c>
      <c r="C17" s="17" t="inlineStr">
        <is>
          <t>V</t>
        </is>
      </c>
      <c r="D17" s="17" t="inlineStr">
        <is>
          <t>V</t>
        </is>
      </c>
      <c r="E17" s="17" t="inlineStr">
        <is>
          <t>V</t>
        </is>
      </c>
      <c r="F17" s="17" t="inlineStr">
        <is>
          <t>V</t>
        </is>
      </c>
      <c r="G17" s="17" t="inlineStr">
        <is>
          <t>V</t>
        </is>
      </c>
      <c r="H17" s="10" t="inlineStr">
        <is>
          <t>10 步快照回滾</t>
        </is>
      </c>
    </row>
    <row r="18">
      <c r="A18" s="6" t="inlineStr">
        <is>
          <t>Audit JSONL</t>
        </is>
      </c>
      <c r="B18" s="17" t="inlineStr">
        <is>
          <t>V</t>
        </is>
      </c>
      <c r="C18" s="17" t="inlineStr">
        <is>
          <t>V</t>
        </is>
      </c>
      <c r="D18" s="17" t="inlineStr">
        <is>
          <t>V</t>
        </is>
      </c>
      <c r="E18" s="17" t="inlineStr">
        <is>
          <t>V</t>
        </is>
      </c>
      <c r="F18" s="17" t="inlineStr">
        <is>
          <t>V</t>
        </is>
      </c>
      <c r="G18" s="17" t="inlineStr">
        <is>
          <t>V</t>
        </is>
      </c>
      <c r="H18" s="7" t="inlineStr">
        <is>
          <t>操作追蹤</t>
        </is>
      </c>
    </row>
    <row r="19">
      <c r="A19" s="8" t="inlineStr">
        <is>
          <t>Two-Tier Learner</t>
        </is>
      </c>
      <c r="B19" s="17" t="inlineStr">
        <is>
          <t>V</t>
        </is>
      </c>
      <c r="C19" s="17" t="inlineStr">
        <is>
          <t>V</t>
        </is>
      </c>
      <c r="D19" s="17" t="inlineStr">
        <is>
          <t>V</t>
        </is>
      </c>
      <c r="E19" s="17" t="inlineStr">
        <is>
          <t>V</t>
        </is>
      </c>
      <c r="F19" s="17" t="inlineStr">
        <is>
          <t>V</t>
        </is>
      </c>
      <c r="G19" s="17" t="inlineStr">
        <is>
          <t>V</t>
        </is>
      </c>
      <c r="H19" s="10" t="inlineStr">
        <is>
          <t>跨專案學習</t>
        </is>
      </c>
    </row>
    <row r="20">
      <c r="A20" s="6" t="inlineStr">
        <is>
          <t>MCP Server</t>
        </is>
      </c>
      <c r="B20" s="17" t="inlineStr">
        <is>
          <t>V</t>
        </is>
      </c>
      <c r="C20" s="17" t="inlineStr">
        <is>
          <t>V</t>
        </is>
      </c>
      <c r="D20" s="17" t="inlineStr">
        <is>
          <t>V</t>
        </is>
      </c>
      <c r="E20" s="17" t="inlineStr">
        <is>
          <t>V</t>
        </is>
      </c>
      <c r="F20" s="17" t="inlineStr">
        <is>
          <t>V</t>
        </is>
      </c>
      <c r="G20" s="17" t="inlineStr">
        <is>
          <t>V</t>
        </is>
      </c>
      <c r="H20" s="7" t="inlineStr">
        <is>
          <t>9 tools, AI CLI 整合</t>
        </is>
      </c>
    </row>
    <row r="21">
      <c r="A21" s="4" t="inlineStr">
        <is>
          <t>慢速裝置最佳化 (SlowDeviceOptimizer)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6" t="inlineStr">
        <is>
          <t>即時壓縮 (zlib)</t>
        </is>
      </c>
      <c r="B22" s="7" t="inlineStr">
        <is>
          <t>—</t>
        </is>
      </c>
      <c r="C22" s="7" t="inlineStr">
        <is>
          <t>—</t>
        </is>
      </c>
      <c r="D22" s="7" t="inlineStr">
        <is>
          <t>—</t>
        </is>
      </c>
      <c r="E22" s="7" t="inlineStr">
        <is>
          <t>2.5x</t>
        </is>
      </c>
      <c r="F22" s="7" t="inlineStr">
        <is>
          <t>2.5x</t>
        </is>
      </c>
      <c r="G22" s="7" t="inlineStr">
        <is>
          <t>2.5x</t>
        </is>
      </c>
      <c r="H22" s="7" t="inlineStr">
        <is>
          <t>CPU 解壓 4-8 GB/s</t>
        </is>
      </c>
    </row>
    <row r="23">
      <c r="A23" s="8" t="inlineStr">
        <is>
          <t>KV Cache 量化</t>
        </is>
      </c>
      <c r="B23" s="10" t="inlineStr">
        <is>
          <t>—</t>
        </is>
      </c>
      <c r="C23" s="10" t="inlineStr">
        <is>
          <t>—</t>
        </is>
      </c>
      <c r="D23" s="10" t="inlineStr">
        <is>
          <t>—</t>
        </is>
      </c>
      <c r="E23" s="10" t="inlineStr">
        <is>
          <t>INT8 2x</t>
        </is>
      </c>
      <c r="F23" s="10" t="inlineStr">
        <is>
          <t>INT8 2x</t>
        </is>
      </c>
      <c r="G23" s="10" t="inlineStr">
        <is>
          <t>INT8 2x</t>
        </is>
      </c>
      <c r="H23" s="10" t="inlineStr">
        <is>
          <t>精度損失 &lt;1%</t>
        </is>
      </c>
    </row>
    <row r="24">
      <c r="A24" s="6" t="inlineStr">
        <is>
          <t>RAM Write-Back</t>
        </is>
      </c>
      <c r="B24" s="7" t="inlineStr">
        <is>
          <t>—</t>
        </is>
      </c>
      <c r="C24" s="7" t="inlineStr">
        <is>
          <t>—</t>
        </is>
      </c>
      <c r="D24" s="7" t="inlineStr">
        <is>
          <t>—</t>
        </is>
      </c>
      <c r="E24" s="7" t="inlineStr">
        <is>
          <t>256 MB</t>
        </is>
      </c>
      <c r="F24" s="7" t="inlineStr">
        <is>
          <t>256 MB</t>
        </is>
      </c>
      <c r="G24" s="7" t="inlineStr">
        <is>
          <t>512 MB</t>
        </is>
      </c>
      <c r="H24" s="7" t="inlineStr">
        <is>
          <t>批次寫入</t>
        </is>
      </c>
    </row>
    <row r="25">
      <c r="A25" s="8" t="inlineStr">
        <is>
          <t>I/O 順序重排</t>
        </is>
      </c>
      <c r="B25" s="10" t="inlineStr">
        <is>
          <t>—</t>
        </is>
      </c>
      <c r="C25" s="10" t="inlineStr">
        <is>
          <t>—</t>
        </is>
      </c>
      <c r="D25" s="10" t="inlineStr">
        <is>
          <t>—</t>
        </is>
      </c>
      <c r="E25" s="17" t="inlineStr">
        <is>
          <t>V</t>
        </is>
      </c>
      <c r="F25" s="17" t="inlineStr">
        <is>
          <t>V</t>
        </is>
      </c>
      <c r="G25" s="10" t="inlineStr">
        <is>
          <t>V (必須)</t>
        </is>
      </c>
      <c r="H25" s="10" t="inlineStr">
        <is>
          <t>HDD 命脈</t>
        </is>
      </c>
    </row>
    <row r="26">
      <c r="A26" s="6" t="inlineStr">
        <is>
          <t>自動 Profile 偵測</t>
        </is>
      </c>
      <c r="B26" s="7" t="inlineStr">
        <is>
          <t>—</t>
        </is>
      </c>
      <c r="C26" s="7" t="inlineStr">
        <is>
          <t>—</t>
        </is>
      </c>
      <c r="D26" s="7" t="inlineStr">
        <is>
          <t>—</t>
        </is>
      </c>
      <c r="E26" s="17" t="inlineStr">
        <is>
          <t>V</t>
        </is>
      </c>
      <c r="F26" s="17" t="inlineStr">
        <is>
          <t>V</t>
        </is>
      </c>
      <c r="G26" s="17" t="inlineStr">
        <is>
          <t>V</t>
        </is>
      </c>
      <c r="H26" s="7" t="inlineStr">
        <is>
          <t>實測速度→選策略</t>
        </is>
      </c>
    </row>
    <row r="27">
      <c r="A27" s="4" t="inlineStr">
        <is>
          <t>最佳適用場景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6" t="inlineStr">
        <is>
          <t>即時 LLM 推理</t>
        </is>
      </c>
      <c r="B28" s="7" t="inlineStr">
        <is>
          <t>最佳</t>
        </is>
      </c>
      <c r="C28" s="7" t="inlineStr">
        <is>
          <t>極佳</t>
        </is>
      </c>
      <c r="D28" s="7" t="inlineStr">
        <is>
          <t>極佳</t>
        </is>
      </c>
      <c r="E28" s="7" t="inlineStr">
        <is>
          <t>可用(慢)</t>
        </is>
      </c>
      <c r="F28" s="7" t="inlineStr">
        <is>
          <t>可用</t>
        </is>
      </c>
      <c r="G28" s="18" t="inlineStr">
        <is>
          <t>不適合</t>
        </is>
      </c>
      <c r="H28" s="7" t="inlineStr"/>
    </row>
    <row r="29">
      <c r="A29" s="8" t="inlineStr">
        <is>
          <t>KV Cache 卸載</t>
        </is>
      </c>
      <c r="B29" s="10" t="inlineStr">
        <is>
          <t>最佳</t>
        </is>
      </c>
      <c r="C29" s="10" t="inlineStr">
        <is>
          <t>極佳</t>
        </is>
      </c>
      <c r="D29" s="10" t="inlineStr">
        <is>
          <t>極佳</t>
        </is>
      </c>
      <c r="E29" s="10" t="inlineStr">
        <is>
          <t>適合</t>
        </is>
      </c>
      <c r="F29" s="10" t="inlineStr">
        <is>
          <t>適合</t>
        </is>
      </c>
      <c r="G29" s="10" t="inlineStr">
        <is>
          <t>僅 checkpoint</t>
        </is>
      </c>
      <c r="H29" s="10" t="inlineStr"/>
    </row>
    <row r="30">
      <c r="A30" s="6" t="inlineStr">
        <is>
          <t>超長 Context</t>
        </is>
      </c>
      <c r="B30" s="7" t="inlineStr">
        <is>
          <t>極佳</t>
        </is>
      </c>
      <c r="C30" s="7" t="inlineStr">
        <is>
          <t>極佳</t>
        </is>
      </c>
      <c r="D30" s="7" t="inlineStr">
        <is>
          <t>最佳</t>
        </is>
      </c>
      <c r="E30" s="7" t="inlineStr">
        <is>
          <t>良好</t>
        </is>
      </c>
      <c r="F30" s="7" t="inlineStr">
        <is>
          <t>良好</t>
        </is>
      </c>
      <c r="G30" s="7" t="inlineStr">
        <is>
          <t>良好</t>
        </is>
      </c>
      <c r="H30" s="7" t="inlineStr">
        <is>
          <t>大容量優勢</t>
        </is>
      </c>
    </row>
    <row r="31">
      <c r="A31" s="8" t="inlineStr">
        <is>
          <t>模型訓練</t>
        </is>
      </c>
      <c r="B31" s="18" t="inlineStr">
        <is>
          <t>X</t>
        </is>
      </c>
      <c r="C31" s="18" t="inlineStr">
        <is>
          <t>X</t>
        </is>
      </c>
      <c r="D31" s="18" t="inlineStr">
        <is>
          <t>X</t>
        </is>
      </c>
      <c r="E31" s="18" t="inlineStr">
        <is>
          <t>X</t>
        </is>
      </c>
      <c r="F31" s="18" t="inlineStr">
        <is>
          <t>X</t>
        </is>
      </c>
      <c r="G31" s="18" t="inlineStr">
        <is>
          <t>X</t>
        </is>
      </c>
      <c r="H31" s="10" t="inlineStr">
        <is>
          <t>寫入壽命不足</t>
        </is>
      </c>
    </row>
  </sheetData>
  <mergeCells count="5">
    <mergeCell ref="A9:H9"/>
    <mergeCell ref="A4:H4"/>
    <mergeCell ref="A21:H21"/>
    <mergeCell ref="A1:H1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 ht="40" customHeight="1">
      <c r="A1" s="1" t="inlineStr">
        <is>
          <t>效能提升量化 (基準：RTX 4070 12GB 無擴展)</t>
        </is>
      </c>
    </row>
    <row r="3">
      <c r="A3" s="3" t="inlineStr">
        <is>
          <t>指標</t>
        </is>
      </c>
      <c r="B3" s="3" t="inlineStr">
        <is>
          <t>無擴展(基準)</t>
        </is>
      </c>
      <c r="C3" s="3" t="inlineStr">
        <is>
          <t>SD Express</t>
        </is>
      </c>
      <c r="D3" s="3" t="inlineStr">
        <is>
          <t>USB4/TB</t>
        </is>
      </c>
      <c r="E3" s="3" t="inlineStr">
        <is>
          <t>NVMe 外接盒</t>
        </is>
      </c>
      <c r="F3" s="3" t="inlineStr">
        <is>
          <t>普通 SD 卡</t>
        </is>
      </c>
      <c r="G3" s="3" t="inlineStr">
        <is>
          <t>普通 USB 碟</t>
        </is>
      </c>
      <c r="H3" s="3" t="inlineStr">
        <is>
          <t>外接 HDD</t>
        </is>
      </c>
      <c r="I3" s="3" t="inlineStr">
        <is>
          <t>單位</t>
        </is>
      </c>
    </row>
    <row r="4">
      <c r="A4" s="8" t="inlineStr">
        <is>
          <t>可用 VRAM (GB)</t>
        </is>
      </c>
      <c r="B4" s="9" t="n">
        <v>12</v>
      </c>
      <c r="C4" s="9" t="n">
        <v>933</v>
      </c>
      <c r="D4" s="19" t="n">
        <v>3697</v>
      </c>
      <c r="E4" s="19" t="n">
        <v>7396</v>
      </c>
      <c r="F4" s="9" t="n">
        <v>512</v>
      </c>
      <c r="G4" s="19" t="n">
        <v>1024</v>
      </c>
      <c r="H4" s="19" t="n">
        <v>4096</v>
      </c>
      <c r="I4" s="10" t="inlineStr">
        <is>
          <t>GB</t>
        </is>
      </c>
    </row>
    <row r="5">
      <c r="A5" s="20" t="inlineStr">
        <is>
          <t>VRAM 提升倍率</t>
        </is>
      </c>
      <c r="B5" s="21" t="n">
        <v>1</v>
      </c>
      <c r="C5" s="21">
        <f>IF(B4=0,"N/A",ROUND(C4/B4,1))</f>
        <v/>
      </c>
      <c r="D5" s="21">
        <f>IF(B4=0,"N/A",ROUND(D4/B4,1))</f>
        <v/>
      </c>
      <c r="E5" s="21">
        <f>IF(B4=0,"N/A",ROUND(E4/B4,1))</f>
        <v/>
      </c>
      <c r="F5" s="21">
        <f>IF(B4=0,"N/A",ROUND(F4/B4,1))</f>
        <v/>
      </c>
      <c r="G5" s="21">
        <f>IF(B4=0,"N/A",ROUND(G4/B4,1))</f>
        <v/>
      </c>
      <c r="H5" s="21">
        <f>IF(B4=0,"N/A",ROUND(H4/B4,1))</f>
        <v/>
      </c>
      <c r="I5" s="10" t="inlineStr">
        <is>
          <t>x</t>
        </is>
      </c>
    </row>
    <row r="6">
      <c r="A6" s="8" t="inlineStr">
        <is>
          <t>等效頻寬 (MB/s)</t>
        </is>
      </c>
      <c r="B6" s="19" t="n">
        <v>336000</v>
      </c>
      <c r="C6" s="19" t="n">
        <v>3500</v>
      </c>
      <c r="D6" s="19" t="n">
        <v>6500</v>
      </c>
      <c r="E6" s="19" t="n">
        <v>8500</v>
      </c>
      <c r="F6" s="9" t="n">
        <v>500</v>
      </c>
      <c r="G6" s="19" t="n">
        <v>1500</v>
      </c>
      <c r="H6" s="9" t="n">
        <v>600</v>
      </c>
      <c r="I6" s="10" t="inlineStr">
        <is>
          <t>MB/s</t>
        </is>
      </c>
    </row>
    <row r="7">
      <c r="A7" s="8" t="inlineStr">
        <is>
          <t>Context (8B, tokens)</t>
        </is>
      </c>
      <c r="B7" s="19" t="n">
        <v>57000</v>
      </c>
      <c r="C7" s="19" t="n">
        <v>7600000</v>
      </c>
      <c r="D7" s="19" t="n">
        <v>28000000</v>
      </c>
      <c r="E7" s="19" t="n">
        <v>60450000</v>
      </c>
      <c r="F7" s="19" t="n">
        <v>1500000</v>
      </c>
      <c r="G7" s="19" t="n">
        <v>3000000</v>
      </c>
      <c r="H7" s="19" t="n">
        <v>1500000</v>
      </c>
      <c r="I7" s="10" t="inlineStr">
        <is>
          <t>tokens</t>
        </is>
      </c>
    </row>
    <row r="8">
      <c r="A8" s="20" t="inlineStr">
        <is>
          <t>Context 提升倍率</t>
        </is>
      </c>
      <c r="B8" s="21" t="n">
        <v>1</v>
      </c>
      <c r="C8" s="21">
        <f>IF(B7=0,"N/A",ROUND(C7/B7,1))</f>
        <v/>
      </c>
      <c r="D8" s="21">
        <f>IF(B7=0,"N/A",ROUND(D7/B7,1))</f>
        <v/>
      </c>
      <c r="E8" s="21">
        <f>IF(B7=0,"N/A",ROUND(E7/B7,1))</f>
        <v/>
      </c>
      <c r="F8" s="21">
        <f>IF(B7=0,"N/A",ROUND(F7/B7,1))</f>
        <v/>
      </c>
      <c r="G8" s="21">
        <f>IF(B7=0,"N/A",ROUND(G7/B7,1))</f>
        <v/>
      </c>
      <c r="H8" s="21">
        <f>IF(B7=0,"N/A",ROUND(H7/B7,1))</f>
        <v/>
      </c>
      <c r="I8" s="10" t="inlineStr">
        <is>
          <t>x</t>
        </is>
      </c>
    </row>
    <row r="9">
      <c r="A9" s="8" t="inlineStr">
        <is>
          <t>70B Q4 速度 (tok/s)</t>
        </is>
      </c>
      <c r="B9" s="9" t="n">
        <v>0</v>
      </c>
      <c r="C9" s="9" t="n">
        <v>3.54</v>
      </c>
      <c r="D9" s="9" t="n">
        <v>6.92</v>
      </c>
      <c r="E9" s="9" t="n">
        <v>8.5</v>
      </c>
      <c r="F9" s="9" t="n">
        <v>0.35</v>
      </c>
      <c r="G9" s="9" t="n">
        <v>0.8</v>
      </c>
      <c r="H9" s="9" t="n">
        <v>0</v>
      </c>
      <c r="I9" s="10" t="inlineStr">
        <is>
          <t>tok/s</t>
        </is>
      </c>
    </row>
    <row r="10">
      <c r="A10" s="8" t="inlineStr">
        <is>
          <t>70B FP16 速度</t>
        </is>
      </c>
      <c r="B10" s="9" t="n">
        <v>0</v>
      </c>
      <c r="C10" s="9" t="n">
        <v>1</v>
      </c>
      <c r="D10" s="9" t="n">
        <v>2.3</v>
      </c>
      <c r="E10" s="9" t="n">
        <v>3.5</v>
      </c>
      <c r="F10" s="9" t="n">
        <v>0.1</v>
      </c>
      <c r="G10" s="9" t="n">
        <v>0.2</v>
      </c>
      <c r="H10" s="9" t="n">
        <v>0</v>
      </c>
      <c r="I10" s="10" t="inlineStr">
        <is>
          <t>tok/s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6" customWidth="1" min="4" max="4"/>
    <col width="12" customWidth="1" min="5" max="5"/>
    <col width="12" customWidth="1" min="6" max="6"/>
    <col width="14" customWidth="1" min="7" max="7"/>
    <col width="26" customWidth="1" min="8" max="8"/>
  </cols>
  <sheetData>
    <row r="1" ht="40" customHeight="1">
      <c r="A1" s="1" t="inlineStr">
        <is>
          <t>依使用者情境的設備選型建議</t>
        </is>
      </c>
    </row>
    <row r="3">
      <c r="A3" s="3" t="inlineStr">
        <is>
          <t>使用場景</t>
        </is>
      </c>
      <c r="B3" s="3" t="inlineStr">
        <is>
          <t>推薦方案</t>
        </is>
      </c>
      <c r="C3" s="3" t="inlineStr">
        <is>
          <t>次選方案</t>
        </is>
      </c>
      <c r="D3" s="3" t="inlineStr">
        <is>
          <t>所需硬體</t>
        </is>
      </c>
      <c r="E3" s="3" t="inlineStr">
        <is>
          <t>預估成本</t>
        </is>
      </c>
      <c r="F3" s="3" t="inlineStr">
        <is>
          <t>效能等級</t>
        </is>
      </c>
      <c r="G3" s="3" t="inlineStr">
        <is>
          <t>你的設備可用？</t>
        </is>
      </c>
      <c r="H3" s="3" t="inlineStr">
        <is>
          <t>備註</t>
        </is>
      </c>
    </row>
    <row r="4" ht="35" customHeight="1">
      <c r="A4" s="6" t="inlineStr">
        <is>
          <t>學生：本地跑 7B 模型 (預算&lt;$50)</t>
        </is>
      </c>
      <c r="B4" s="7" t="inlineStr">
        <is>
          <t>普通 USB 碟</t>
        </is>
      </c>
      <c r="C4" s="7" t="inlineStr">
        <is>
          <t>普通 SD 卡</t>
        </is>
      </c>
      <c r="D4" s="6" t="inlineStr">
        <is>
          <t>USB 3.0 隨身碟 32GB+</t>
        </is>
      </c>
      <c r="E4" s="7" t="inlineStr">
        <is>
          <t>$25</t>
        </is>
      </c>
      <c r="F4" s="7" t="inlineStr">
        <is>
          <t>足夠</t>
        </is>
      </c>
      <c r="G4" s="17" t="inlineStr">
        <is>
          <t>V 可用</t>
        </is>
      </c>
      <c r="H4" s="6" t="inlineStr">
        <is>
          <t>7B 完全放 VRAM</t>
        </is>
      </c>
    </row>
    <row r="5" ht="35" customHeight="1">
      <c r="A5" s="8" t="inlineStr">
        <is>
          <t>個人開發者：測試 30B (預算&lt;$100)</t>
        </is>
      </c>
      <c r="B5" s="10" t="inlineStr">
        <is>
          <t>普通 SD 卡</t>
        </is>
      </c>
      <c r="C5" s="10" t="inlineStr">
        <is>
          <t>普通 USB 碟</t>
        </is>
      </c>
      <c r="D5" s="8" t="inlineStr">
        <is>
          <t>500GB+ SDXC 卡</t>
        </is>
      </c>
      <c r="E5" s="10" t="inlineStr">
        <is>
          <t>$30</t>
        </is>
      </c>
      <c r="F5" s="10" t="inlineStr">
        <is>
          <t>可用</t>
        </is>
      </c>
      <c r="G5" s="17" t="inlineStr">
        <is>
          <t>V 可用 (E:)</t>
        </is>
      </c>
      <c r="H5" s="8" t="inlineStr">
        <is>
          <t>壓縮後等效 500 MB/s</t>
        </is>
      </c>
    </row>
    <row r="6" ht="35" customHeight="1">
      <c r="A6" s="6" t="inlineStr">
        <is>
          <t>研究員：跑 70B (預算&lt;$200)</t>
        </is>
      </c>
      <c r="B6" s="7" t="inlineStr">
        <is>
          <t>NVMe 外接盒</t>
        </is>
      </c>
      <c r="C6" s="7" t="inlineStr">
        <is>
          <t>USB4 SSD</t>
        </is>
      </c>
      <c r="D6" s="6" t="inlineStr">
        <is>
          <t>TB4 外接盒 + 2TB NVMe</t>
        </is>
      </c>
      <c r="E6" s="7" t="inlineStr">
        <is>
          <t>$155</t>
        </is>
      </c>
      <c r="F6" s="7" t="inlineStr">
        <is>
          <t>良好</t>
        </is>
      </c>
      <c r="G6" s="18" t="inlineStr">
        <is>
          <t>X 需購買</t>
        </is>
      </c>
      <c r="H6" s="6" t="inlineStr">
        <is>
          <t>6.92 tok/s 實用速度</t>
        </is>
      </c>
    </row>
    <row r="7" ht="35" customHeight="1">
      <c r="A7" s="8" t="inlineStr">
        <is>
          <t>工作站：70B FP16 (預算&lt;$500)</t>
        </is>
      </c>
      <c r="B7" s="10" t="inlineStr">
        <is>
          <t>NVMe 外接盒</t>
        </is>
      </c>
      <c r="C7" s="10" t="inlineStr">
        <is>
          <t>SD Express</t>
        </is>
      </c>
      <c r="D7" s="8" t="inlineStr">
        <is>
          <t>TB5 + 4TB NVMe</t>
        </is>
      </c>
      <c r="E7" s="10" t="inlineStr">
        <is>
          <t>$350</t>
        </is>
      </c>
      <c r="F7" s="10" t="inlineStr">
        <is>
          <t>極佳</t>
        </is>
      </c>
      <c r="G7" s="18" t="inlineStr">
        <is>
          <t>X 需購買</t>
        </is>
      </c>
      <c r="H7" s="8" t="inlineStr">
        <is>
          <t>3.5 tok/s 全精度</t>
        </is>
      </c>
    </row>
    <row r="8" ht="35" customHeight="1">
      <c r="A8" s="6" t="inlineStr">
        <is>
          <t>超長 Context 分析 (法務/代碼)</t>
        </is>
      </c>
      <c r="B8" s="7" t="inlineStr">
        <is>
          <t>外接 HDD</t>
        </is>
      </c>
      <c r="C8" s="7" t="inlineStr">
        <is>
          <t>普通 USB 碟</t>
        </is>
      </c>
      <c r="D8" s="6" t="inlineStr">
        <is>
          <t>4TB USB 外接硬碟</t>
        </is>
      </c>
      <c r="E8" s="7" t="inlineStr">
        <is>
          <t>$80</t>
        </is>
      </c>
      <c r="F8" s="7" t="inlineStr">
        <is>
          <t>良好</t>
        </is>
      </c>
      <c r="G8" s="17" t="inlineStr">
        <is>
          <t>V 如有 HDD</t>
        </is>
      </c>
      <c r="H8" s="6" t="inlineStr">
        <is>
          <t>Context 1500 萬 tokens</t>
        </is>
      </c>
    </row>
    <row r="9" ht="35" customHeight="1">
      <c r="A9" s="8" t="inlineStr">
        <is>
          <t>AI Agent 長對話 (&gt;100萬 tokens)</t>
        </is>
      </c>
      <c r="B9" s="10" t="inlineStr">
        <is>
          <t>普通 SD 卡</t>
        </is>
      </c>
      <c r="C9" s="10" t="inlineStr">
        <is>
          <t>普通 USB 碟</t>
        </is>
      </c>
      <c r="D9" s="8" t="inlineStr">
        <is>
          <t>1TB SDXC 卡</t>
        </is>
      </c>
      <c r="E9" s="10" t="inlineStr">
        <is>
          <t>$50</t>
        </is>
      </c>
      <c r="F9" s="10" t="inlineStr">
        <is>
          <t>良好</t>
        </is>
      </c>
      <c r="G9" s="17" t="inlineStr">
        <is>
          <t>V 可用 (E:)</t>
        </is>
      </c>
      <c r="H9" s="8" t="inlineStr">
        <is>
          <t>KV Cache 卸載最佳化</t>
        </is>
      </c>
    </row>
    <row r="10" ht="35" customHeight="1">
      <c r="A10" s="6" t="inlineStr">
        <is>
          <t>模型卡匣化 (快速切換模型)</t>
        </is>
      </c>
      <c r="B10" s="7" t="inlineStr">
        <is>
          <t>SD Express</t>
        </is>
      </c>
      <c r="C10" s="7" t="inlineStr">
        <is>
          <t>普通 SD 卡</t>
        </is>
      </c>
      <c r="D10" s="6" t="inlineStr">
        <is>
          <t>多張 SD 卡</t>
        </is>
      </c>
      <c r="E10" s="7" t="inlineStr">
        <is>
          <t>$50/張</t>
        </is>
      </c>
      <c r="F10" s="7" t="inlineStr">
        <is>
          <t>最佳</t>
        </is>
      </c>
      <c r="G10" s="17" t="inlineStr">
        <is>
          <t>V 普通SD可用</t>
        </is>
      </c>
      <c r="H10" s="6" t="inlineStr">
        <is>
          <t>隨插即用換模型</t>
        </is>
      </c>
    </row>
    <row r="11" ht="35" customHeight="1">
      <c r="A11" s="8" t="inlineStr">
        <is>
          <t>企業 405B 模型</t>
        </is>
      </c>
      <c r="B11" s="10" t="inlineStr">
        <is>
          <t>NVMe 外接盒</t>
        </is>
      </c>
      <c r="C11" s="10" t="inlineStr">
        <is>
          <t>—</t>
        </is>
      </c>
      <c r="D11" s="8" t="inlineStr">
        <is>
          <t>TB5 + 8TB RAID0</t>
        </is>
      </c>
      <c r="E11" s="10" t="inlineStr">
        <is>
          <t>$800</t>
        </is>
      </c>
      <c r="F11" s="10" t="inlineStr">
        <is>
          <t>可行</t>
        </is>
      </c>
      <c r="G11" s="18" t="inlineStr">
        <is>
          <t>X 需購買</t>
        </is>
      </c>
      <c r="H11" s="8" t="inlineStr">
        <is>
          <t>需 200GB+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2026-03-23T04:21:33Z</dcterms:created>
  <dcterms:modified xmlns:dcterms="http://purl.org/dc/terms/" xmlns:xsi="http://www.w3.org/2001/XMLSchema-instance" xsi:type="dcterms:W3CDTF">2026-03-23T04:21:33Z</dcterms:modified>
</cp:coreProperties>
</file>